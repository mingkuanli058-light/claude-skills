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报价清单" sheetId="2" r:id="rId1"/>
    <sheet name="预算总表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<sst xmlns="http://schemas.openxmlformats.org/spreadsheetml/2006/main" count="113" uniqueCount="99">
  <si>
    <t>产品类别</t>
  </si>
  <si>
    <t>商品名称（开票名称）</t>
  </si>
  <si>
    <t>品牌</t>
  </si>
  <si>
    <t>型号</t>
  </si>
  <si>
    <t>技术规格</t>
  </si>
  <si>
    <t>单位</t>
  </si>
  <si>
    <t>数量</t>
  </si>
  <si>
    <t>单价(元)</t>
  </si>
  <si>
    <t>合价(元)</t>
  </si>
  <si>
    <t>文搜型CVR-AK702系列</t>
  </si>
  <si>
    <t>网络存储设备</t>
  </si>
  <si>
    <t>海康威视</t>
  </si>
  <si>
    <t>iDS-AK70248R-X</t>
  </si>
  <si>
    <t xml:space="preserve">
8U机架式48盘位网络存储设备，搭载64位多核处理器，1+1冗余电源、冗余风扇，实现7×24小时稳定运行
【硬件规格】
处理器：1颗64位多核处理器
系统内存：16GB（可扩展至64GB）
系统盘：1×240GB SSD
数据盘：1×480GB SSD（数据存储）
存储接口：48个SATA接口，支持硬盘热插拔
网络接口：2个千兆数据网口，1个千兆管理口
其他接口：1×COM，2×USB2.0，2×USB3.0，1×VGA，1×HDMI
整机电源：1200W，1+1冗余电源
【产品性能】
以文搜图：350路（文搜IPC）
检索数量：150W/天
视频性能：最大支持接入350路（最大接入带宽875Mbps）
回放性能：最大支持35路2Mbps
【智能应用】
前端接入能力：支持接入智能相机，对图片中的目标进行多模态大模型建模
大模型图文建模：内置大模型算法引擎，支持对目标图像和自然语言的多模态大模型建模，建立目标图像和自然语言的对应关系
大模型以文搜图：内置图文搜索引擎，支持开放式语义检索，输入文字描述即可查找人、车、非机动车及附属物等目标
以文搜图应用展示：支持全通道录像检索，且通道和时间范围可设；支持搜索结果相似度自定义设置展示；支持自定义选择时间范围
搜索结果精准定位：支持搜索结果按相似度排序展示，根据搜索结果，可一键关联录像片段及以图搜图，对目标进行二次精准检索定位，还原目标的跨通道行动轨迹
搜索结果快速筛选：以文搜图检索结果支持以相似度、时间、通道等条件对检出录像/图片进行排序或筛选
【产品功能】
支持视频流直写
支持ONVIF、GB/T 28181、RTSP等标准协议
支持VRAID、RAID0、1、5、6、10、50等多种RAID模式
支持一键配置（VRAID模式），可快速部署阵列和存储池
支持局部重构，原盘或其克隆盘拔出设备后再插回，未被覆盖数据可快速恢复
支持视频检索功能，按照监控点编号、录像类型、时间组合等条件查询
支持视频回放功能：正序回放、定位回放、倍速回放等功能
支持按需取流功能，未处于录像计划时间内的通道不占用网络带宽
支持运维总览展示，可快速定位设备异常情况 </t>
  </si>
  <si>
    <t>台</t>
  </si>
  <si>
    <t>海康IoT盘-联名盘(加密)</t>
  </si>
  <si>
    <t>硬盘</t>
  </si>
  <si>
    <t>HK7212AH</t>
  </si>
  <si>
    <t xml:space="preserve">12TB容量，3.5英寸，SATA3.0接口，7200RPM
空气盘， CMR传统磁记录
传输速率267 MB/s，256MB高速缓存，流畅存储视频有效防止丢帧
MTBF可达2,000,000小时
支持5年有限质保服务
适用海拔高度范围-305m至3050m
接口类型：SATA
尺寸：147mm(L)×101.6mm(W)×26.1mm(H)
转速：7200RPM
平均读写功率（W）：10.4W
缓存：256MB
刻录技术：CMR
接口传输速率（最大值）：6.0Gb/s
MTBF：2,000,000 </t>
  </si>
  <si>
    <t>序号</t>
  </si>
  <si>
    <t>费用名称</t>
  </si>
  <si>
    <t>单价</t>
  </si>
  <si>
    <t>金额</t>
  </si>
  <si>
    <t>备注</t>
  </si>
  <si>
    <t>总计：</t>
  </si>
  <si>
    <t>（一）</t>
  </si>
  <si>
    <t>软硬件购置费</t>
  </si>
  <si>
    <t>应用服务器设备</t>
  </si>
  <si>
    <t xml:space="preserve">处理器：集成2*鲲鹏920系列(5250)处理器(48Core，2.6GHz) 
内存：32个DIMM插槽，频率最大支持2933MHz，最大容量支持4TB，4个 32GB DDR4 RECC
硬盘：前置12个3.5/2.5" SATA/SAS 热插拔硬盘
2.5英寸硬盘：2个SSD 1.92T SATA 数据中心 2.5 读取密集型
3.5英寸硬盘：4个HDD 4T SATA 企业级 3.5 7200
</t>
  </si>
  <si>
    <t xml:space="preserve">
8U机架式48盘位网络存储设备，搭载64位多核处理器，1+1冗余电源、冗余风扇，实现7×24小时稳定运行
【硬件规格】
处理器：1颗64位多核处理器
系统内存：16GB（可扩展至64GB）
系统盘：1×240GB SSD
数据盘：1×480GB SSD（数据存储）
存储接口：48个SATA接口，支持硬盘热插拔
网络接口：2个千兆数据网口，1个千兆管理口
其他接口：1×COM，2×USB2.0，2×USB3.0，1×VGA，1×HDMI
整机电源：1200W，1+1冗余电源
【产品功能】
支持视频流直写
支持ONVIF、GB/T 28181、RTSP等标准协议
支持VRAID、RAID0、1、5、6、10、50等多种RAID模式
支持一键配置（VRAID模式），可快速部署阵列和存储池
支持局部重构，原盘或其克隆盘拔出设备后再插回，未被覆盖数据可快速恢复
支持视频检索功能，按照监控点编号、录像类型、时间组合等条件查询
支持视频回放功能：正序回放、定位回放、倍速回放等功能
支持按需取流功能，未处于录像计划时间内的通道不占用网络带宽
支持运维总览展示，可快速定位设备异常情况 </t>
  </si>
  <si>
    <t>块</t>
  </si>
  <si>
    <t xml:space="preserve">
8U机架式48盘位网络存储设备，搭载64位多核处理器，1+1冗余电源、冗余风扇，实现7×24小时稳定运行
【硬件规格】
处理器：1颗64位多核处理器
系统内存：16GB（可扩展至64GB）
系统盘：1×240GB SSD
数据盘：1×480GB SSD（数据存储）
存储接口：48个SATA接口，支持硬盘热插拔
网络接口：2个千兆数据网口，1个千兆管理口
其他接口：1×COM，2×USB2.0，2×USB3.0，1×VGA，1×HDMI
整机电源：1200W，1+1冗余电源
【产品功能】
支持视频流直写
支持ONVIF、GB/T 28181、RTSP等标准协议
支持VRAID、RAID0、1、5、6、10、50等多种RAID模式
支持一键配置（VRAID模式），可快速部署阵列和存储池
支持局部重构，原盘或其克隆盘拔出设备后再插回，未被覆盖数据可快速恢复
支持视频检索功能，按照监控点编号、录像类型、时间组合等条件查询
支持视频回放功能：正序回放、定位回放、倍速回放等功能
支持按需取流功能，未处于录像计划时间内的通道不占用网络带宽
支持运维总览展示，可快速定位设备异常情况 </t>
  </si>
  <si>
    <t>数据库软件</t>
  </si>
  <si>
    <t>套</t>
  </si>
  <si>
    <t>达梦数据库 V8.4</t>
  </si>
  <si>
    <t>小计：</t>
  </si>
  <si>
    <t>（二）</t>
  </si>
  <si>
    <t>应用软件费</t>
  </si>
  <si>
    <t>（三）</t>
  </si>
  <si>
    <t>其它费用</t>
  </si>
  <si>
    <t>数据资源建设费</t>
  </si>
  <si>
    <t>集成费</t>
  </si>
  <si>
    <t>项</t>
  </si>
  <si>
    <t>监理费</t>
  </si>
  <si>
    <t>等保测评费</t>
  </si>
  <si>
    <t>次</t>
  </si>
  <si>
    <t>第三方软件测评费</t>
  </si>
  <si>
    <t>功能模块</t>
  </si>
  <si>
    <t>功能描述</t>
  </si>
  <si>
    <t>人月</t>
  </si>
  <si>
    <t>单价（元）</t>
  </si>
  <si>
    <t>小计（元）</t>
  </si>
  <si>
    <t>数据接入框架</t>
  </si>
  <si>
    <t>建立统一数据接入机制，支持多来源文件接入</t>
  </si>
  <si>
    <t>文件校验机制</t>
  </si>
  <si>
    <t>执法音视频文件完整性校验（哈希校验）</t>
  </si>
  <si>
    <t>元数据提取</t>
  </si>
  <si>
    <t>提取时间、设备、人员等结构化信息</t>
  </si>
  <si>
    <t>入库控制逻辑</t>
  </si>
  <si>
    <t>校验通过入库、失败拒绝与异常记录</t>
  </si>
  <si>
    <t>存储目录管理</t>
  </si>
  <si>
    <t>存储空间组织与目录结构管理</t>
  </si>
  <si>
    <t>存储资源映射</t>
  </si>
  <si>
    <t>文件路径与数据库记录映射关系管理</t>
  </si>
  <si>
    <t>检索服务框架</t>
  </si>
  <si>
    <t>多维度结构化检索能力实现</t>
  </si>
  <si>
    <t>条件过滤机制</t>
  </si>
  <si>
    <t>按时间 / 人员 / 设备等条件过滤</t>
  </si>
  <si>
    <t>调阅控制逻辑</t>
  </si>
  <si>
    <t>调阅权限验证与访问控制机制</t>
  </si>
  <si>
    <t>并发播放控制</t>
  </si>
  <si>
    <t>支持多路音视频并发调阅播放</t>
  </si>
  <si>
    <t>生命周期策略引擎</t>
  </si>
  <si>
    <t>在线 / 归档 / 到期处理规则控制</t>
  </si>
  <si>
    <t>归档控制逻辑</t>
  </si>
  <si>
    <t>非在线数据迁移与状态管理</t>
  </si>
  <si>
    <t>到期处理控制</t>
  </si>
  <si>
    <t>数据到期标记与处置控制机制</t>
  </si>
  <si>
    <t>审计日志机制</t>
  </si>
  <si>
    <t>全部关键操作日志记录与查询</t>
  </si>
  <si>
    <t>权限管理模块</t>
  </si>
  <si>
    <t>用户 / 角色 / 权限配置管理</t>
  </si>
  <si>
    <t>审批流程控制</t>
  </si>
  <si>
    <t>调阅 / 复制等审批流程控制</t>
  </si>
  <si>
    <t>运维监控模块</t>
  </si>
  <si>
    <t>服务状态 / 存储状态监测</t>
  </si>
  <si>
    <t>告警机制</t>
  </si>
  <si>
    <t>容量 / 异常 / 服务状态告警</t>
  </si>
  <si>
    <t>系统配置管理</t>
  </si>
  <si>
    <t>系统参数 / 阈值配置管理</t>
  </si>
  <si>
    <t>异常处理机制</t>
  </si>
  <si>
    <t>网络中断 / 校验失败等处理</t>
  </si>
  <si>
    <t>部署适配</t>
  </si>
  <si>
    <t>部署环境适配与参数调整</t>
  </si>
  <si>
    <t>联调支持</t>
  </si>
  <si>
    <t>与存储 / 数据库联调支持</t>
  </si>
  <si>
    <t>验收整改支持</t>
  </si>
  <si>
    <t>测试问题修复与验收支持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</si>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</sst>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rgb="FF000000"/>
      <name val="仿宋_GB2312"/>
      <charset val="134"/>
    </font>
    <font>
      <b/>
      <sz val="14"/>
      <color rgb="FF000000"/>
      <name val="等线"/>
      <charset val="134"/>
    </font>
    <font>
      <b/>
      <sz val="14"/>
      <color rgb="FF000000"/>
      <name val="Arial"/>
      <charset val="134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sz val="14"/>
      <color rgb="FF000000"/>
      <name val="等线"/>
      <charset val="134"/>
    </font>
    <font>
      <sz val="8"/>
      <color rgb="FF000000"/>
      <name val="等线"/>
      <charset val="134"/>
    </font>
    <font>
      <sz val="14"/>
      <color rgb="FF000000"/>
      <name val="仿宋_GB2312"/>
      <charset val="134"/>
    </font>
    <font>
      <sz val="14"/>
      <color rgb="FF000000"/>
      <name val="Arial"/>
      <charset val="134"/>
    </font>
    <font>
      <b/>
      <sz val="11"/>
      <color indexed="9"/>
      <name val="微软雅黑"/>
      <charset val="134"/>
    </font>
    <font>
      <sz val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rgb="FF000000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"/>
      </bottom>
      <diagonal/>
    </border>
  </borders>
  <cellStyleXfs count="8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7" fillId="8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2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Alignment="0" applyProtection="0">
      <alignment vertical="center"/>
    </xf>
    <xf numFmtId="0" fontId="19" fillId="0" borderId="0" applyNumberFormat="0" applyFill="0" applyAlignment="0" applyProtection="0">
      <alignment vertical="center"/>
    </xf>
    <xf numFmtId="0" fontId="31" fillId="0" borderId="0" applyNumberFormat="0" applyFill="0" applyAlignment="0" applyProtection="0">
      <alignment vertical="center"/>
    </xf>
    <xf numFmtId="0" fontId="0" fillId="0" borderId="0" applyNumberFormat="0" applyFill="0" applyAlignment="0" applyProtection="0"/>
    <xf numFmtId="0" fontId="0" fillId="0" borderId="0"/>
    <xf numFmtId="0" fontId="0" fillId="0" borderId="0"/>
    <xf numFmtId="0" fontId="30" fillId="0" borderId="0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0" fillId="0" borderId="0" applyNumberFormat="0" applyFill="0" applyAlignment="0" applyProtection="0">
      <alignment vertical="center"/>
    </xf>
    <xf numFmtId="0" fontId="18" fillId="0" borderId="0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</cellStyleXfs>
  <cellXfs count="39">
    <xf numFmtId="0" fontId="0" fillId="0" borderId="0" xfId="0"/>
    <xf numFmtId="7" fontId="0" fillId="0" borderId="0" xfId="0" applyNumberFormat="1"/>
    <xf numFmtId="0" fontId="1" fillId="0" borderId="1" xfId="0" applyFont="1" applyBorder="1" applyAlignment="1">
      <alignment horizontal="center" wrapText="1"/>
    </xf>
    <xf numFmtId="7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7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/>
    </xf>
    <xf numFmtId="7" fontId="3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2" borderId="5" xfId="0" applyFont="1" applyFill="1" applyBorder="1" applyAlignment="1">
      <alignment horizontal="justify" wrapText="1"/>
    </xf>
    <xf numFmtId="0" fontId="4" fillId="2" borderId="6" xfId="0" applyFont="1" applyFill="1" applyBorder="1" applyAlignment="1">
      <alignment horizontal="justify" wrapText="1"/>
    </xf>
    <xf numFmtId="0" fontId="6" fillId="2" borderId="7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10" fontId="10" fillId="0" borderId="9" xfId="0" applyNumberFormat="1" applyFont="1" applyBorder="1" applyAlignment="1">
      <alignment horizontal="left" wrapText="1"/>
    </xf>
    <xf numFmtId="0" fontId="5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justify" wrapText="1"/>
    </xf>
    <xf numFmtId="10" fontId="5" fillId="0" borderId="9" xfId="0" applyNumberFormat="1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10" fontId="6" fillId="0" borderId="9" xfId="0" applyNumberFormat="1" applyFont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justify" wrapText="1"/>
    </xf>
    <xf numFmtId="0" fontId="9" fillId="2" borderId="9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 wrapText="1"/>
    </xf>
    <xf numFmtId="10" fontId="6" fillId="2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13" fillId="3" borderId="10" xfId="78" applyFont="1" applyFill="1" applyBorder="1" applyAlignment="1">
      <alignment horizontal="center" vertical="center" wrapText="1"/>
    </xf>
    <xf numFmtId="0" fontId="13" fillId="3" borderId="11" xfId="78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</cellXfs>
  <cellStyles count="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2 2" xfId="49"/>
    <cellStyle name="20% - 着色 6 2" xfId="50"/>
    <cellStyle name="40% - 着色 4 2" xfId="51"/>
    <cellStyle name="计算 2" xfId="52"/>
    <cellStyle name="40% - 着色 3 2" xfId="53"/>
    <cellStyle name="40% - 着色 2 2" xfId="54"/>
    <cellStyle name="20% - 着色 1 2" xfId="55"/>
    <cellStyle name="40% - 着色 5 2" xfId="56"/>
    <cellStyle name="20% - 着色 2 2" xfId="57"/>
    <cellStyle name="输出 2" xfId="58"/>
    <cellStyle name="60% - 着色 6 2" xfId="59"/>
    <cellStyle name="着色 5 2" xfId="60"/>
    <cellStyle name="适中 2" xfId="61"/>
    <cellStyle name="20% - 着色 3 2" xfId="6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标题 3 2" xfId="73"/>
    <cellStyle name="标题 4 2" xfId="74"/>
    <cellStyle name="标题 5" xfId="75"/>
    <cellStyle name="差 2" xfId="76"/>
    <cellStyle name="常规 2" xfId="77"/>
    <cellStyle name="常规 4" xfId="78"/>
    <cellStyle name="常规 4 2" xfId="79"/>
    <cellStyle name="好 2" xfId="80"/>
    <cellStyle name="检查单元格 2" xfId="81"/>
    <cellStyle name="解释性文本 2" xfId="82"/>
    <cellStyle name="警告文本 2" xfId="83"/>
    <cellStyle name="输入 2" xfId="84"/>
    <cellStyle name="着色 3 2" xfId="85"/>
    <cellStyle name="着色 4 2" xfId="86"/>
    <cellStyle name="着色 6 2" xfId="87"/>
    <cellStyle name="注释 2" xfId="8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zoomScale="115" zoomScaleNormal="115" workbookViewId="0">
      <selection activeCell="E17" sqref="E17"/>
    </sheetView>
  </sheetViews>
  <sheetFormatPr defaultColWidth="9" defaultRowHeight="13.5" customHeight="1" outlineLevelRow="2"/>
  <sheetData>
    <row r="1" customHeight="1" spans="1:9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6" t="s">
        <v>6</v>
      </c>
      <c r="H1" s="35" t="s">
        <v>7</v>
      </c>
      <c r="I1" s="35" t="s">
        <v>8</v>
      </c>
    </row>
    <row r="2" customHeight="1" spans="1:9">
      <c r="A2" s="37" t="s">
        <v>9</v>
      </c>
      <c r="B2" s="37" t="s">
        <v>10</v>
      </c>
      <c r="C2" s="37" t="s">
        <v>11</v>
      </c>
      <c r="D2" s="37" t="s">
        <v>12</v>
      </c>
      <c r="E2" s="37" t="s">
        <v>13</v>
      </c>
      <c r="F2" s="38" t="s">
        <v>14</v>
      </c>
      <c r="G2" s="38">
        <v>2</v>
      </c>
      <c r="H2" s="38">
        <v>39200</v>
      </c>
      <c r="I2" s="38">
        <f>G2*H2</f>
        <v>78400</v>
      </c>
    </row>
    <row r="3" customHeight="1" spans="1:9">
      <c r="A3" s="37" t="s">
        <v>15</v>
      </c>
      <c r="B3" s="37" t="s">
        <v>16</v>
      </c>
      <c r="C3" s="37" t="s">
        <v>11</v>
      </c>
      <c r="D3" s="37" t="s">
        <v>17</v>
      </c>
      <c r="E3" s="37" t="s">
        <v>18</v>
      </c>
      <c r="F3" s="38" t="s">
        <v>14</v>
      </c>
      <c r="G3" s="38">
        <v>68</v>
      </c>
      <c r="H3" s="38">
        <v>3825</v>
      </c>
      <c r="I3" s="38">
        <f>G3*H3</f>
        <v>260100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22" sqref="G22"/>
    </sheetView>
  </sheetViews>
  <sheetFormatPr defaultColWidth="9" defaultRowHeight="13.5" outlineLevelCol="6"/>
  <cols>
    <col min="2" max="2" width="20.625" customWidth="1"/>
    <col min="6" max="6" width="12.375" customWidth="1"/>
    <col min="7" max="7" width="43.875" customWidth="1"/>
  </cols>
  <sheetData>
    <row r="1" ht="19.5" spans="1:7">
      <c r="A1" s="8" t="s">
        <v>19</v>
      </c>
      <c r="B1" s="9" t="s">
        <v>20</v>
      </c>
      <c r="C1" s="10" t="s">
        <v>21</v>
      </c>
      <c r="D1" s="10" t="s">
        <v>5</v>
      </c>
      <c r="E1" s="10" t="s">
        <v>6</v>
      </c>
      <c r="F1" s="10" t="s">
        <v>22</v>
      </c>
      <c r="G1" s="10" t="s">
        <v>23</v>
      </c>
    </row>
    <row r="2" ht="19.5" spans="1:7">
      <c r="A2" s="11"/>
      <c r="B2" s="12" t="s">
        <v>24</v>
      </c>
      <c r="C2" s="13">
        <f>F8+F10+F17</f>
        <v>99.67</v>
      </c>
      <c r="D2" s="13"/>
      <c r="E2" s="13"/>
      <c r="F2" s="13"/>
      <c r="G2" s="13"/>
    </row>
    <row r="3" ht="20.25" spans="1:7">
      <c r="A3" s="14" t="s">
        <v>25</v>
      </c>
      <c r="B3" s="15" t="s">
        <v>26</v>
      </c>
      <c r="C3" s="16"/>
      <c r="D3" s="16"/>
      <c r="E3" s="16"/>
      <c r="F3" s="16"/>
      <c r="G3" s="16"/>
    </row>
    <row r="4" ht="37" customHeight="1" spans="1:7">
      <c r="A4" s="17">
        <v>1</v>
      </c>
      <c r="B4" s="18" t="s">
        <v>27</v>
      </c>
      <c r="C4" s="19">
        <v>13.9</v>
      </c>
      <c r="D4" s="19" t="s">
        <v>14</v>
      </c>
      <c r="E4" s="19">
        <v>1</v>
      </c>
      <c r="F4" s="19">
        <f>E4*C4</f>
        <v>13.9</v>
      </c>
      <c r="G4" s="20" t="s">
        <v>28</v>
      </c>
    </row>
    <row r="5" ht="57" customHeight="1" spans="1:7">
      <c r="A5" s="17">
        <v>2</v>
      </c>
      <c r="B5" s="18" t="s">
        <v>10</v>
      </c>
      <c r="C5" s="19">
        <v>6.5</v>
      </c>
      <c r="D5" s="19" t="s">
        <v>14</v>
      </c>
      <c r="E5" s="19">
        <v>2</v>
      </c>
      <c r="F5" s="19">
        <f>E5*C5</f>
        <v>13</v>
      </c>
      <c r="G5" s="20" t="s">
        <v>29</v>
      </c>
    </row>
    <row r="6" ht="30" customHeight="1" spans="1:7">
      <c r="A6" s="17">
        <v>3</v>
      </c>
      <c r="B6" s="18" t="s">
        <v>16</v>
      </c>
      <c r="C6" s="19">
        <v>68</v>
      </c>
      <c r="D6" s="19" t="s">
        <v>30</v>
      </c>
      <c r="E6" s="19">
        <v>0.54</v>
      </c>
      <c r="F6" s="19">
        <f>E6*C6</f>
        <v>36.72</v>
      </c>
      <c r="G6" s="20" t="s">
        <v>31</v>
      </c>
    </row>
    <row r="7" ht="30" customHeight="1" spans="1:7">
      <c r="A7" s="17">
        <v>4</v>
      </c>
      <c r="B7" s="18" t="s">
        <v>32</v>
      </c>
      <c r="C7" s="19">
        <v>1</v>
      </c>
      <c r="D7" s="19" t="s">
        <v>33</v>
      </c>
      <c r="E7" s="19">
        <v>7</v>
      </c>
      <c r="F7" s="19">
        <f>E7*C7</f>
        <v>7</v>
      </c>
      <c r="G7" s="20" t="s">
        <v>34</v>
      </c>
    </row>
    <row r="8" ht="19.5" spans="1:7">
      <c r="A8" s="21"/>
      <c r="B8" s="22" t="s">
        <v>35</v>
      </c>
      <c r="C8" s="19"/>
      <c r="D8" s="19"/>
      <c r="E8" s="19"/>
      <c r="F8" s="19">
        <f>SUM(F4:F7)</f>
        <v>70.62</v>
      </c>
      <c r="G8" s="23"/>
    </row>
    <row r="9" ht="19.5" spans="1:7">
      <c r="A9" s="14" t="s">
        <v>36</v>
      </c>
      <c r="B9" s="15" t="s">
        <v>37</v>
      </c>
      <c r="C9" s="24">
        <v>22.65</v>
      </c>
      <c r="D9" s="18" t="s">
        <v>33</v>
      </c>
      <c r="E9" s="24">
        <v>1</v>
      </c>
      <c r="F9" s="24">
        <f>E9*C9</f>
        <v>22.65</v>
      </c>
      <c r="G9" s="25"/>
    </row>
    <row r="10" ht="19.5" spans="1:7">
      <c r="A10" s="26"/>
      <c r="B10" s="27" t="s">
        <v>35</v>
      </c>
      <c r="C10" s="28"/>
      <c r="D10" s="29"/>
      <c r="E10" s="29"/>
      <c r="F10" s="30">
        <f>SUM(F9:F9)</f>
        <v>22.65</v>
      </c>
      <c r="G10" s="31"/>
    </row>
    <row r="11" ht="19.5" spans="1:7">
      <c r="A11" s="14" t="s">
        <v>38</v>
      </c>
      <c r="B11" s="15" t="s">
        <v>39</v>
      </c>
      <c r="C11" s="16"/>
      <c r="D11" s="16"/>
      <c r="E11" s="16"/>
      <c r="F11" s="19"/>
      <c r="G11" s="29"/>
    </row>
    <row r="12" ht="19.5" spans="1:7">
      <c r="A12" s="17">
        <v>1</v>
      </c>
      <c r="B12" s="32" t="s">
        <v>40</v>
      </c>
      <c r="C12" s="16"/>
      <c r="D12" s="16"/>
      <c r="E12" s="16"/>
      <c r="F12" s="19"/>
      <c r="G12" s="29"/>
    </row>
    <row r="13" ht="19.5" spans="1:7">
      <c r="A13" s="17">
        <v>2</v>
      </c>
      <c r="B13" s="32" t="s">
        <v>41</v>
      </c>
      <c r="C13" s="24">
        <v>6.4</v>
      </c>
      <c r="D13" s="18" t="s">
        <v>42</v>
      </c>
      <c r="E13" s="24">
        <v>1</v>
      </c>
      <c r="F13" s="24">
        <f>E13*C13</f>
        <v>6.4</v>
      </c>
      <c r="G13" s="31"/>
    </row>
    <row r="14" ht="19.5" spans="1:7">
      <c r="A14" s="17">
        <v>3</v>
      </c>
      <c r="B14" s="32" t="s">
        <v>43</v>
      </c>
      <c r="C14" s="24">
        <v>0</v>
      </c>
      <c r="D14" s="18" t="s">
        <v>42</v>
      </c>
      <c r="E14" s="24">
        <v>1</v>
      </c>
      <c r="F14" s="24">
        <v>0</v>
      </c>
      <c r="G14" s="31"/>
    </row>
    <row r="15" ht="19.5" spans="1:7">
      <c r="A15" s="17">
        <v>4</v>
      </c>
      <c r="B15" s="32" t="s">
        <v>44</v>
      </c>
      <c r="C15" s="24">
        <v>0</v>
      </c>
      <c r="D15" s="18" t="s">
        <v>45</v>
      </c>
      <c r="E15" s="24">
        <v>0</v>
      </c>
      <c r="F15" s="24">
        <v>0</v>
      </c>
      <c r="G15" s="31"/>
    </row>
    <row r="16" ht="19.5" spans="1:7">
      <c r="A16" s="33">
        <v>5</v>
      </c>
      <c r="B16" s="32" t="s">
        <v>46</v>
      </c>
      <c r="C16" s="24">
        <v>0</v>
      </c>
      <c r="D16" s="18" t="s">
        <v>45</v>
      </c>
      <c r="E16" s="24">
        <v>0</v>
      </c>
      <c r="F16" s="24">
        <v>0</v>
      </c>
      <c r="G16" s="31"/>
    </row>
    <row r="17" ht="19.5" spans="1:7">
      <c r="A17" s="34"/>
      <c r="B17" s="27" t="s">
        <v>35</v>
      </c>
      <c r="C17" s="28"/>
      <c r="D17" s="28"/>
      <c r="E17" s="28"/>
      <c r="F17" s="30">
        <f>SUM(F13:F16)</f>
        <v>6.4</v>
      </c>
      <c r="G17" s="31"/>
    </row>
  </sheetData>
  <mergeCells count="1">
    <mergeCell ref="C2:G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6"/>
  <sheetViews>
    <sheetView workbookViewId="0">
      <selection activeCell="D17" sqref="D17"/>
    </sheetView>
  </sheetViews>
  <sheetFormatPr defaultColWidth="9" defaultRowHeight="13.5" outlineLevelCol="5"/>
  <cols>
    <col min="1" max="1" width="4.875" customWidth="1"/>
    <col min="2" max="2" width="18.125" customWidth="1"/>
    <col min="3" max="3" width="36.125" customWidth="1"/>
    <col min="5" max="5" width="12.625" style="1"/>
    <col min="6" max="6" width="12.625" style="1" customWidth="1"/>
  </cols>
  <sheetData>
    <row r="2" ht="14.25" spans="1:6">
      <c r="A2" s="2" t="s">
        <v>19</v>
      </c>
      <c r="B2" s="2" t="s">
        <v>47</v>
      </c>
      <c r="C2" s="2" t="s">
        <v>48</v>
      </c>
      <c r="D2" s="2" t="s">
        <v>49</v>
      </c>
      <c r="E2" s="3" t="s">
        <v>50</v>
      </c>
      <c r="F2" s="3" t="s">
        <v>51</v>
      </c>
    </row>
    <row r="3" ht="28.5" spans="1:6">
      <c r="A3" s="4">
        <v>1</v>
      </c>
      <c r="B3" s="4" t="s">
        <v>52</v>
      </c>
      <c r="C3" s="4" t="s">
        <v>53</v>
      </c>
      <c r="D3" s="4">
        <v>1</v>
      </c>
      <c r="E3" s="5">
        <v>15000</v>
      </c>
      <c r="F3" s="5">
        <f>E3*D3</f>
        <v>15000</v>
      </c>
    </row>
    <row r="4" ht="28.5" spans="1:6">
      <c r="A4" s="4">
        <v>2</v>
      </c>
      <c r="B4" s="4" t="s">
        <v>54</v>
      </c>
      <c r="C4" s="4" t="s">
        <v>55</v>
      </c>
      <c r="D4" s="4">
        <v>0.5</v>
      </c>
      <c r="E4" s="5">
        <v>15000</v>
      </c>
      <c r="F4" s="5">
        <f t="shared" ref="F4:F25" si="0">E4*D4</f>
        <v>7500</v>
      </c>
    </row>
    <row r="5" ht="14.25" spans="1:6">
      <c r="A5" s="4">
        <v>3</v>
      </c>
      <c r="B5" s="4" t="s">
        <v>56</v>
      </c>
      <c r="C5" s="4" t="s">
        <v>57</v>
      </c>
      <c r="D5" s="4">
        <v>0.8</v>
      </c>
      <c r="E5" s="5">
        <v>15000</v>
      </c>
      <c r="F5" s="5">
        <f t="shared" si="0"/>
        <v>12000</v>
      </c>
    </row>
    <row r="6" ht="14.25" spans="1:6">
      <c r="A6" s="4">
        <v>4</v>
      </c>
      <c r="B6" s="4" t="s">
        <v>58</v>
      </c>
      <c r="C6" s="4" t="s">
        <v>59</v>
      </c>
      <c r="D6" s="4">
        <v>0.5</v>
      </c>
      <c r="E6" s="5">
        <v>15000</v>
      </c>
      <c r="F6" s="5">
        <f t="shared" si="0"/>
        <v>7500</v>
      </c>
    </row>
    <row r="7" ht="14.25" spans="1:6">
      <c r="A7" s="4">
        <v>5</v>
      </c>
      <c r="B7" s="4" t="s">
        <v>60</v>
      </c>
      <c r="C7" s="4" t="s">
        <v>61</v>
      </c>
      <c r="D7" s="4">
        <v>0.5</v>
      </c>
      <c r="E7" s="5">
        <v>15000</v>
      </c>
      <c r="F7" s="5">
        <f t="shared" si="0"/>
        <v>7500</v>
      </c>
    </row>
    <row r="8" ht="14.25" spans="1:6">
      <c r="A8" s="4">
        <v>6</v>
      </c>
      <c r="B8" s="4" t="s">
        <v>62</v>
      </c>
      <c r="C8" s="4" t="s">
        <v>63</v>
      </c>
      <c r="D8" s="4">
        <v>0.5</v>
      </c>
      <c r="E8" s="5">
        <v>15000</v>
      </c>
      <c r="F8" s="5">
        <f t="shared" si="0"/>
        <v>7500</v>
      </c>
    </row>
    <row r="9" ht="14.25" spans="1:6">
      <c r="A9" s="4">
        <v>7</v>
      </c>
      <c r="B9" s="4" t="s">
        <v>64</v>
      </c>
      <c r="C9" s="4" t="s">
        <v>65</v>
      </c>
      <c r="D9" s="4">
        <v>1</v>
      </c>
      <c r="E9" s="5">
        <v>15000</v>
      </c>
      <c r="F9" s="5">
        <f t="shared" si="0"/>
        <v>15000</v>
      </c>
    </row>
    <row r="10" ht="14.25" spans="1:6">
      <c r="A10" s="4">
        <v>8</v>
      </c>
      <c r="B10" s="4" t="s">
        <v>66</v>
      </c>
      <c r="C10" s="4" t="s">
        <v>67</v>
      </c>
      <c r="D10" s="4">
        <v>0.6</v>
      </c>
      <c r="E10" s="5">
        <v>15000</v>
      </c>
      <c r="F10" s="5">
        <f t="shared" si="0"/>
        <v>9000</v>
      </c>
    </row>
    <row r="11" ht="14.25" spans="1:6">
      <c r="A11" s="4">
        <v>9</v>
      </c>
      <c r="B11" s="4" t="s">
        <v>68</v>
      </c>
      <c r="C11" s="4" t="s">
        <v>69</v>
      </c>
      <c r="D11" s="4">
        <v>0.8</v>
      </c>
      <c r="E11" s="5">
        <v>15000</v>
      </c>
      <c r="F11" s="5">
        <f t="shared" si="0"/>
        <v>12000</v>
      </c>
    </row>
    <row r="12" ht="14.25" spans="1:6">
      <c r="A12" s="4">
        <v>10</v>
      </c>
      <c r="B12" s="4" t="s">
        <v>70</v>
      </c>
      <c r="C12" s="4" t="s">
        <v>71</v>
      </c>
      <c r="D12" s="4">
        <v>0.8</v>
      </c>
      <c r="E12" s="5">
        <v>15000</v>
      </c>
      <c r="F12" s="5">
        <f t="shared" si="0"/>
        <v>12000</v>
      </c>
    </row>
    <row r="13" ht="14.25" spans="1:6">
      <c r="A13" s="4">
        <v>11</v>
      </c>
      <c r="B13" s="4" t="s">
        <v>72</v>
      </c>
      <c r="C13" s="4" t="s">
        <v>73</v>
      </c>
      <c r="D13" s="4">
        <v>1.2</v>
      </c>
      <c r="E13" s="5">
        <v>15000</v>
      </c>
      <c r="F13" s="5">
        <f t="shared" si="0"/>
        <v>18000</v>
      </c>
    </row>
    <row r="14" ht="14.25" spans="1:6">
      <c r="A14" s="4">
        <v>12</v>
      </c>
      <c r="B14" s="4" t="s">
        <v>74</v>
      </c>
      <c r="C14" s="4" t="s">
        <v>75</v>
      </c>
      <c r="D14" s="4">
        <v>0.5</v>
      </c>
      <c r="E14" s="5">
        <v>15000</v>
      </c>
      <c r="F14" s="5">
        <f t="shared" si="0"/>
        <v>7500</v>
      </c>
    </row>
    <row r="15" ht="14.25" spans="1:6">
      <c r="A15" s="4">
        <v>13</v>
      </c>
      <c r="B15" s="4" t="s">
        <v>76</v>
      </c>
      <c r="C15" s="4" t="s">
        <v>77</v>
      </c>
      <c r="D15" s="4">
        <v>0.5</v>
      </c>
      <c r="E15" s="5">
        <v>15000</v>
      </c>
      <c r="F15" s="5">
        <f t="shared" si="0"/>
        <v>7500</v>
      </c>
    </row>
    <row r="16" ht="14.25" spans="1:6">
      <c r="A16" s="4">
        <v>14</v>
      </c>
      <c r="B16" s="4" t="s">
        <v>78</v>
      </c>
      <c r="C16" s="4" t="s">
        <v>79</v>
      </c>
      <c r="D16" s="4">
        <v>0.6</v>
      </c>
      <c r="E16" s="5">
        <v>15000</v>
      </c>
      <c r="F16" s="5">
        <f t="shared" si="0"/>
        <v>9000</v>
      </c>
    </row>
    <row r="17" ht="14.25" spans="1:6">
      <c r="A17" s="4">
        <v>15</v>
      </c>
      <c r="B17" s="4" t="s">
        <v>80</v>
      </c>
      <c r="C17" s="4" t="s">
        <v>81</v>
      </c>
      <c r="D17" s="4">
        <v>0.8</v>
      </c>
      <c r="E17" s="5">
        <v>15000</v>
      </c>
      <c r="F17" s="5">
        <f t="shared" si="0"/>
        <v>12000</v>
      </c>
    </row>
    <row r="18" ht="14.25" spans="1:6">
      <c r="A18" s="4">
        <v>16</v>
      </c>
      <c r="B18" s="4" t="s">
        <v>82</v>
      </c>
      <c r="C18" s="4" t="s">
        <v>83</v>
      </c>
      <c r="D18" s="4">
        <v>0.8</v>
      </c>
      <c r="E18" s="5">
        <v>15000</v>
      </c>
      <c r="F18" s="5">
        <f t="shared" si="0"/>
        <v>12000</v>
      </c>
    </row>
    <row r="19" ht="14.25" spans="1:6">
      <c r="A19" s="4">
        <v>17</v>
      </c>
      <c r="B19" s="4" t="s">
        <v>84</v>
      </c>
      <c r="C19" s="4" t="s">
        <v>85</v>
      </c>
      <c r="D19" s="4">
        <v>0.8</v>
      </c>
      <c r="E19" s="5">
        <v>15000</v>
      </c>
      <c r="F19" s="5">
        <f t="shared" si="0"/>
        <v>12000</v>
      </c>
    </row>
    <row r="20" ht="14.25" spans="1:6">
      <c r="A20" s="4">
        <v>18</v>
      </c>
      <c r="B20" s="4" t="s">
        <v>86</v>
      </c>
      <c r="C20" s="4" t="s">
        <v>87</v>
      </c>
      <c r="D20" s="4">
        <v>0.5</v>
      </c>
      <c r="E20" s="5">
        <v>15000</v>
      </c>
      <c r="F20" s="5">
        <f t="shared" si="0"/>
        <v>7500</v>
      </c>
    </row>
    <row r="21" ht="14.25" spans="1:6">
      <c r="A21" s="4">
        <v>19</v>
      </c>
      <c r="B21" s="4" t="s">
        <v>88</v>
      </c>
      <c r="C21" s="4" t="s">
        <v>89</v>
      </c>
      <c r="D21" s="4">
        <v>0.5</v>
      </c>
      <c r="E21" s="5">
        <v>15000</v>
      </c>
      <c r="F21" s="5">
        <f t="shared" si="0"/>
        <v>7500</v>
      </c>
    </row>
    <row r="22" ht="14.25" spans="1:6">
      <c r="A22" s="4">
        <v>20</v>
      </c>
      <c r="B22" s="4" t="s">
        <v>90</v>
      </c>
      <c r="C22" s="4" t="s">
        <v>91</v>
      </c>
      <c r="D22" s="4">
        <v>0.5</v>
      </c>
      <c r="E22" s="5">
        <v>15000</v>
      </c>
      <c r="F22" s="5">
        <f t="shared" si="0"/>
        <v>7500</v>
      </c>
    </row>
    <row r="23" ht="14.25" spans="1:6">
      <c r="A23" s="4">
        <v>21</v>
      </c>
      <c r="B23" s="4" t="s">
        <v>92</v>
      </c>
      <c r="C23" s="4" t="s">
        <v>93</v>
      </c>
      <c r="D23" s="4">
        <v>0.8</v>
      </c>
      <c r="E23" s="5">
        <v>15000</v>
      </c>
      <c r="F23" s="5">
        <f t="shared" si="0"/>
        <v>12000</v>
      </c>
    </row>
    <row r="24" ht="14.25" spans="1:6">
      <c r="A24" s="4">
        <v>22</v>
      </c>
      <c r="B24" s="4" t="s">
        <v>94</v>
      </c>
      <c r="C24" s="4" t="s">
        <v>95</v>
      </c>
      <c r="D24" s="4">
        <v>0.3</v>
      </c>
      <c r="E24" s="5">
        <v>15000</v>
      </c>
      <c r="F24" s="5">
        <f t="shared" si="0"/>
        <v>4500</v>
      </c>
    </row>
    <row r="25" ht="14.25" spans="1:6">
      <c r="A25" s="4">
        <v>23</v>
      </c>
      <c r="B25" s="4" t="s">
        <v>96</v>
      </c>
      <c r="C25" s="4" t="s">
        <v>97</v>
      </c>
      <c r="D25" s="4">
        <v>0.3</v>
      </c>
      <c r="E25" s="5">
        <v>15000</v>
      </c>
      <c r="F25" s="5">
        <f t="shared" si="0"/>
        <v>4500</v>
      </c>
    </row>
    <row r="26" spans="1:6">
      <c r="A26" s="6" t="s">
        <v>98</v>
      </c>
      <c r="B26" s="6"/>
      <c r="C26" s="6"/>
      <c r="D26" s="6"/>
      <c r="E26" s="7">
        <f>SUM(F3:F25)</f>
        <v>226500</v>
      </c>
      <c r="F26" s="7"/>
    </row>
  </sheetData>
  <mergeCells count="2">
    <mergeCell ref="A26:D26"/>
    <mergeCell ref="E26:F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HIKVISION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报价清单</vt:lpstr>
      <vt:lpstr>预算总表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Mikl </cp:lastModifiedBy>
  <dcterms:created xsi:type="dcterms:W3CDTF">2016-05-03T06:12:00Z</dcterms:created>
  <cp:lastPrinted>2015-09-11T07:37:00Z</cp:lastPrinted>
  <dcterms:modified xsi:type="dcterms:W3CDTF">2026-02-24T12:52:22Z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8AB3406F06194B35886F3F5DE3CE63AC_13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